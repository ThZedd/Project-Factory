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rna\Desktop\BOM\"/>
    </mc:Choice>
  </mc:AlternateContent>
  <xr:revisionPtr revIDLastSave="0" documentId="13_ncr:1_{1625C796-080C-405E-A605-9177B9E33E3A}" xr6:coauthVersionLast="47" xr6:coauthVersionMax="47" xr10:uidLastSave="{00000000-0000-0000-0000-000000000000}"/>
  <bookViews>
    <workbookView xWindow="-120" yWindow="-120" windowWidth="29040" windowHeight="15720" xr2:uid="{F4B72E9B-FD68-F44A-BEA0-E86096EC11EB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  <c r="F12" i="1"/>
  <c r="F13" i="1"/>
  <c r="E11" i="1"/>
  <c r="E10" i="1"/>
  <c r="E9" i="1"/>
  <c r="E8" i="1"/>
  <c r="E6" i="1"/>
  <c r="F15" i="1"/>
  <c r="E12" i="1"/>
  <c r="F14" i="1" l="1"/>
  <c r="F17" i="1" s="1"/>
</calcChain>
</file>

<file path=xl/sharedStrings.xml><?xml version="1.0" encoding="utf-8"?>
<sst xmlns="http://schemas.openxmlformats.org/spreadsheetml/2006/main" count="72" uniqueCount="53">
  <si>
    <t>Ref. Fabricante</t>
  </si>
  <si>
    <t>Descrição</t>
  </si>
  <si>
    <t>Categoria</t>
  </si>
  <si>
    <t>Quant.</t>
  </si>
  <si>
    <t>Preço un.</t>
  </si>
  <si>
    <t>Sub-total</t>
  </si>
  <si>
    <t>Distribuidor</t>
  </si>
  <si>
    <t>URL</t>
  </si>
  <si>
    <t>Mauser</t>
  </si>
  <si>
    <t>ESP32-WROOM-32</t>
  </si>
  <si>
    <t>Módulo ESP32 Wroom NodeMcu WiFi</t>
  </si>
  <si>
    <t>Microcontrolador</t>
  </si>
  <si>
    <t>Step UP</t>
  </si>
  <si>
    <t>Alimentação</t>
  </si>
  <si>
    <t>Módulo MP3 DFPlayer mini</t>
  </si>
  <si>
    <t xml:space="preserve">Áudio </t>
  </si>
  <si>
    <t>Autifalante(3W)</t>
  </si>
  <si>
    <t>Botão de pressão -Vermelho</t>
  </si>
  <si>
    <t>Interface</t>
  </si>
  <si>
    <t>Botão de pressão -Verde</t>
  </si>
  <si>
    <t>Visualização</t>
  </si>
  <si>
    <t>Armazenamento</t>
  </si>
  <si>
    <t>Sub-Total</t>
  </si>
  <si>
    <t>Transporte</t>
  </si>
  <si>
    <t>Quantidade</t>
  </si>
  <si>
    <t>Total</t>
  </si>
  <si>
    <t>Amazon</t>
  </si>
  <si>
    <t>https://www.amazon.es/dp/B01MRWL6DW?ref=ppx_yo2ov_dt_b_fed_asin_title</t>
  </si>
  <si>
    <t>https://www.amazon.es/dp/B0CT36L8B9?ref=ppx_yo2ov_dt_b_fed_asin_title</t>
  </si>
  <si>
    <t>https://www.amazon.es/dp/B0C9TGJRPH?ref=ppx_yo2ov_dt_b_fed_asin_title&amp;th=1</t>
  </si>
  <si>
    <t>https://www.amazon.es/dp/B0D8Q7NG96?ref=ppx_yo2ov_dt_b_fed_asin_title</t>
  </si>
  <si>
    <t>https://www.amazon.es/-/pt/dp/B0D2CSHWC4/ref=sr_1_2?crid=12UDURNQ6RAD3&amp;dib=eyJ2IjoiMSJ9.93x-JXoWGyvqTQjn3qoWrmFCRt8MBHl_2Y6KH6y4xiTROmfdMIF293bc3cbGYz3g10x7b5rOjaHMKsyF0ZA7zyyRLAgbo6oU38YV8EU6UfGhd4jm7VDTdANf7YAcF0-ZYD6mjdgZab_cIzGZ00zH9JVBF9iTtJQ4LomqsTJS-pd_ZUuI8S17qJ0AGHzOWnXfUaUTwPp2AcvGu831QrgeLB3V8JwmnUlRZjI6Bvc1f1DbWp2N00646n__JEYF0kIzoTV4ygcUkQtbejs0KrT6NX93fB3pDsywGh7oxVDQQ3Q.0_QBLsu6AdKROfhlG0OVzQEAv_rH_7dKIsQGUEeofyc&amp;dib_tag=se&amp;keywords=step+up+small&amp;qid=1775335372&amp;sprefix=step+up+small%2Caps%2C189&amp;sr=8-2</t>
  </si>
  <si>
    <t>https://www.amazon.es/dp/B078JBBPXK?ref=ppx_yo2ov_dt_b_fed_asin_title</t>
  </si>
  <si>
    <t>https://mauser.pt/035-5296/bateria-3-7v-750mah-li-po-21x58x6mm</t>
  </si>
  <si>
    <t>Bateria 3.7V 750mAh Li-Po</t>
  </si>
  <si>
    <t>SPI TFT Display 128 x 160 pixels ST7735</t>
  </si>
  <si>
    <t xml:space="preserve">Módulo de Carregamento de Bateria </t>
  </si>
  <si>
    <t xml:space="preserve">Cartão MicroSD </t>
  </si>
  <si>
    <t>https://www.amazon.es/-/pt/dp/B078XRLXR8/ref=sr_1_6?crid=1A7HSD94194ED&amp;dib=eyJ2IjoiMSJ9.4ispZL_NZNEBlGK98tlzLWT32MYmxZWoRE_pXpeFoD22D2NOYsw_hjtlhRE98ZMd3dRNvkcEtJdXIviG65jz4CIkS5emK91GLtWWkl13FJ7h5tjjDcHdKFOxE0F4WcDclsMg8hgqZep_GJpfyN4YQRJ_-P2sQn0JgQAfBl8ynZDd9cTzozr4CAbyNcHURxPqsbF8NhyIzOZsAewSGshAPL--Wmeq5xndyU8_tyqz6Pi0iUO7zLFS4-XRNTITTSNjE3_gTR2x03vWD--o8TnAF5Q6Kg7RCvjB8UjmcgTraMU.TOFkY2-iciqnnniApTdRnJ2pKCDiWx6XmPo-kcIELcA&amp;dib_tag=se&amp;keywords=cartao+micro+sd+2gb&amp;qid=1775335841&amp;s=computers&amp;sprefix=cartao+micro+sd+2gb%2Ccomputers%2C85&amp;sr=1-6</t>
  </si>
  <si>
    <t>Interruptor</t>
  </si>
  <si>
    <t>https://mauser.pt/010-0259/interruptor-basculante-unipolar-branco-off-on-i-0-spst-250v-3a</t>
  </si>
  <si>
    <t>010-0259</t>
  </si>
  <si>
    <t>035-5296</t>
  </si>
  <si>
    <t>CDTF-Black-1</t>
  </si>
  <si>
    <t>AZDelivery-TFT177-SPI-ST7735</t>
  </si>
  <si>
    <t>EG STARTS 12x 30mm Drucktastenschalter</t>
  </si>
  <si>
    <t>‎mp3player-2-4</t>
  </si>
  <si>
    <t>‎X110</t>
  </si>
  <si>
    <t>T775</t>
  </si>
  <si>
    <t>‎00473</t>
  </si>
  <si>
    <t>Resistor 1k</t>
  </si>
  <si>
    <t>https://www.amazon.es/-/pt/dp/B07PXYY4HV/ref=sr_1_9?crid=13PMDFLZLBCWH&amp;dib=eyJ2IjoiMSJ9.3_ZPny1UT5FGqZdo1-iCYqxOkWE_i8gJrelub6fvMo9DXcHORk5s8Etdt6XPqhd7FE6siXyA8jICqpz_khkIotNAhSPb8PszIr2jn8fvhHZNyAMMjYqw_BtLKrnrOXFsaWULqS_5zxronco8lVPkccfZjdS6OVmhm7E-s8lV2C4yfjbgY_EJruaX2oSbr0QsGfPBvVvG4zC7kNE49Hym9ina9ntFKNTPrV2XbcBhfb8M4_jADZFr26k37FmBEbjfTa7IYkFLDDYDxOIFuow-DFgCfgdsH6BfuBgxA4LMymo.MfUMTSbdFztnko03teoT6mtyLpUzklk-Zl0OC_KCJ_k&amp;dib_tag=se&amp;keywords=resistencias+arduino&amp;qid=1775337072&amp;sprefix=resistencias+arduino%2Caps%2C107&amp;sr=8-9</t>
  </si>
  <si>
    <t>Passivo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</si>
</sst>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€&quot;#,##0.00"/>
  </numFmts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" fontId="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164" fontId="1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0" fontId="2" fillId="0" borderId="0" xfId="1" applyAlignment="1">
      <alignment horizontal="left"/>
    </xf>
    <xf numFmtId="0" fontId="3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mazon.es/dp/B01MRWL6DW?ref=ppx_yo2ov_dt_b_fed_asin_title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https://www.amazon.es/dp/B0CT36L8B9?ref=ppx_yo2ov_dt_b_fed_asin_title" TargetMode="External"/><Relationship Id="rId7" Type="http://schemas.openxmlformats.org/officeDocument/2006/relationships/hyperlink" Target="https://www.amazon.es/dp/B01MRWL6DW?ref=ppx_yo2ov_dt_b_fed_asin_title" TargetMode="External"/><Relationship Id="rId12" Type="http://schemas.openxmlformats.org/officeDocument/2006/relationships/hyperlink" Target="https://www.amazon.es/-/pt/dp/B07PXYY4HV/ref=sr_1_9?crid=13PMDFLZLBCWH&amp;dib=eyJ2IjoiMSJ9.3_ZPny1UT5FGqZdo1-iCYqxOkWE_i8gJrelub6fvMo9DXcHORk5s8Etdt6XPqhd7FE6siXyA8jICqpz_khkIotNAhSPb8PszIr2jn8fvhHZNyAMMjYqw_BtLKrnrOXFsaWULqS_5zxronco8lVPkccfZjdS6OVmhm7E-s8lV2C4yfjbgY_EJruaX2oSbr0QsGfPBvVvG4zC7kNE49Hym9ina9ntFKNTPrV2XbcBhfb8M4_jADZFr26k37FmBEbjfTa7IYkFLDDYDxOIFuow-DFgCfgdsH6BfuBgxA4LMymo.MfUMTSbdFztnko03teoT6mtyLpUzklk-Zl0OC_KCJ_k&amp;dib_tag=se&amp;keywords=resistencias+arduino&amp;qid=1775337072&amp;sprefix=resistencias+arduino%2Caps%2C107&amp;sr=8-9" TargetMode="External"/><Relationship Id="rId2" Type="http://schemas.openxmlformats.org/officeDocument/2006/relationships/hyperlink" Target="https://www.amazon.es/dp/B0CT36L8B9?ref=ppx_yo2ov_dt_b_fed_asin_title" TargetMode="External"/><Relationship Id="rId1" Type="http://schemas.openxmlformats.org/officeDocument/2006/relationships/hyperlink" Target="https://mauser.pt/010-0259/interruptor-basculante-unipolar-branco-off-on-i-0-spst-250v-3a" TargetMode="External"/><Relationship Id="rId6" Type="http://schemas.openxmlformats.org/officeDocument/2006/relationships/hyperlink" Target="https://www.amazon.es/dp/B0D8Q7NG96?ref=ppx_yo2ov_dt_b_fed_asin_title" TargetMode="External"/><Relationship Id="rId11" Type="http://schemas.openxmlformats.org/officeDocument/2006/relationships/hyperlink" Target="https://www.amazon.es/-/pt/dp/B078XRLXR8/ref=sr_1_6?crid=1A7HSD94194ED&amp;dib=eyJ2IjoiMSJ9.4ispZL_NZNEBlGK98tlzLWT32MYmxZWoRE_pXpeFoD22D2NOYsw_hjtlhRE98ZMd3dRNvkcEtJdXIviG65jz4CIkS5emK91GLtWWkl13FJ7h5tjjDcHdKFOxE0F4WcDclsMg8hgqZep_GJpfyN4YQRJ_-P2sQn0JgQAfBl8ynZDd9cTzozr4CAbyNcHURxPqsbF8NhyIzOZsAewSGshAPL--Wmeq5xndyU8_tyqz6Pi0iUO7zLFS4-XRNTITTSNjE3_gTR2x03vWD--o8TnAF5Q6Kg7RCvjB8UjmcgTraMU.TOFkY2-iciqnnniApTdRnJ2pKCDiWx6XmPo-kcIELcA&amp;dib_tag=se&amp;keywords=cartao+micro+sd+2gb&amp;qid=1775335841&amp;s=computers&amp;sprefix=cartao+micro+sd+2gb%2Ccomputers%2C85&amp;sr=1-6" TargetMode="External"/><Relationship Id="rId5" Type="http://schemas.openxmlformats.org/officeDocument/2006/relationships/hyperlink" Target="https://www.amazon.es/-/pt/dp/B0D2CSHWC4/ref=sr_1_2?crid=12UDURNQ6RAD3&amp;dib=eyJ2IjoiMSJ9.93x-JXoWGyvqTQjn3qoWrmFCRt8MBHl_2Y6KH6y4xiTROmfdMIF293bc3cbGYz3g10x7b5rOjaHMKsyF0ZA7zyyRLAgbo6oU38YV8EU6UfGhd4jm7VDTdANf7YAcF0-ZYD6mjdgZab_cIzGZ00zH9JVBF9iTtJQ4LomqsTJS-pd_ZUuI8S17qJ0AGHzOWnXfUaUTwPp2AcvGu831QrgeLB3V8JwmnUlRZjI6Bvc1f1DbWp2N00646n__JEYF0kIzoTV4ygcUkQtbejs0KrT6NX93fB3pDsywGh7oxVDQQ3Q.0_QBLsu6AdKROfhlG0OVzQEAv_rH_7dKIsQGUEeofyc&amp;dib_tag=se&amp;keywords=step+up+small&amp;qid=1775335372&amp;sprefix=step+up+small%2Caps%2C189&amp;sr=8-2" TargetMode="External"/><Relationship Id="rId10" Type="http://schemas.openxmlformats.org/officeDocument/2006/relationships/hyperlink" Target="https://mauser.pt/035-5296/bateria-3-7v-750mah-li-po-21x58x6mm" TargetMode="External"/><Relationship Id="rId4" Type="http://schemas.openxmlformats.org/officeDocument/2006/relationships/hyperlink" Target="https://www.amazon.es/dp/B0C9TGJRPH?ref=ppx_yo2ov_dt_b_fed_asin_title&amp;th=1" TargetMode="External"/><Relationship Id="rId9" Type="http://schemas.openxmlformats.org/officeDocument/2006/relationships/hyperlink" Target="https://www.amazon.es/dp/B078JBBPXK?ref=ppx_yo2ov_dt_b_fed_asin_tit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67B9A-0911-DB42-B99E-A1ED589BEDF8}">
  <dimension ref="A1:H17"/>
  <sheetViews>
    <sheetView tabSelected="1" zoomScaleNormal="100" workbookViewId="0">
      <selection activeCell="C19" sqref="C19"/>
    </sheetView>
  </sheetViews>
  <sheetFormatPr defaultColWidth="11.25" defaultRowHeight="15.75" x14ac:dyDescent="0.25"/>
  <cols>
    <col min="1" max="1" width="21" style="3" customWidth="1"/>
    <col min="2" max="2" width="45.75" style="2" customWidth="1"/>
    <col min="3" max="3" width="16.75" style="3" customWidth="1"/>
    <col min="4" max="4" width="6.75" style="5" customWidth="1"/>
    <col min="5" max="6" width="11.75" style="7" customWidth="1"/>
    <col min="7" max="7" width="17.75" style="3" customWidth="1"/>
    <col min="8" max="8" width="59" style="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4" t="s">
        <v>3</v>
      </c>
      <c r="E1" s="6" t="s">
        <v>4</v>
      </c>
      <c r="F1" s="6" t="s">
        <v>5</v>
      </c>
      <c r="G1" s="1" t="s">
        <v>6</v>
      </c>
      <c r="H1" s="1" t="s">
        <v>7</v>
      </c>
    </row>
    <row r="2" spans="1:8" x14ac:dyDescent="0.25">
      <c r="A2" s="3" t="s">
        <v>41</v>
      </c>
      <c r="B2" s="2" t="s">
        <v>39</v>
      </c>
      <c r="C2" s="3" t="s">
        <v>18</v>
      </c>
      <c r="D2" s="5">
        <v>1</v>
      </c>
      <c r="E2" s="7">
        <v>0.69</v>
      </c>
      <c r="F2" s="7">
        <f>D2*E2</f>
        <v>0.69</v>
      </c>
      <c r="G2" s="3" t="s">
        <v>8</v>
      </c>
      <c r="H2" s="8" t="s">
        <v>40</v>
      </c>
    </row>
    <row r="3" spans="1:8" x14ac:dyDescent="0.25">
      <c r="A3" s="3" t="s">
        <v>9</v>
      </c>
      <c r="B3" s="2" t="s">
        <v>10</v>
      </c>
      <c r="C3" s="3" t="s">
        <v>11</v>
      </c>
      <c r="D3" s="5">
        <v>1</v>
      </c>
      <c r="E3" s="7">
        <v>13.16</v>
      </c>
      <c r="F3" s="7">
        <f>D3*E3</f>
        <v>13.16</v>
      </c>
      <c r="G3" s="3" t="s">
        <v>26</v>
      </c>
      <c r="H3" s="8" t="s">
        <v>29</v>
      </c>
    </row>
    <row r="4" spans="1:8" x14ac:dyDescent="0.25">
      <c r="A4" s="3" t="s">
        <v>48</v>
      </c>
      <c r="B4" s="2" t="s">
        <v>12</v>
      </c>
      <c r="C4" s="3" t="s">
        <v>13</v>
      </c>
      <c r="D4" s="5">
        <v>1</v>
      </c>
      <c r="E4" s="7">
        <v>0.81200000000000006</v>
      </c>
      <c r="F4" s="7">
        <f>D4*E4</f>
        <v>0.81200000000000006</v>
      </c>
      <c r="G4" s="3" t="s">
        <v>26</v>
      </c>
      <c r="H4" s="8" t="s">
        <v>31</v>
      </c>
    </row>
    <row r="5" spans="1:8" x14ac:dyDescent="0.25">
      <c r="A5" s="9" t="s">
        <v>47</v>
      </c>
      <c r="B5" s="2" t="s">
        <v>36</v>
      </c>
      <c r="C5" s="3" t="s">
        <v>13</v>
      </c>
      <c r="D5" s="5">
        <v>1</v>
      </c>
      <c r="E5" s="7">
        <v>1.1559999999999999</v>
      </c>
      <c r="F5" s="7">
        <f>D5*E5</f>
        <v>1.1559999999999999</v>
      </c>
      <c r="G5" s="3" t="s">
        <v>26</v>
      </c>
      <c r="H5" s="8" t="s">
        <v>30</v>
      </c>
    </row>
    <row r="6" spans="1:8" x14ac:dyDescent="0.25">
      <c r="A6" s="3" t="s">
        <v>46</v>
      </c>
      <c r="B6" s="2" t="s">
        <v>14</v>
      </c>
      <c r="C6" s="3" t="s">
        <v>15</v>
      </c>
      <c r="D6" s="5">
        <v>1</v>
      </c>
      <c r="E6" s="7">
        <f>2.54</f>
        <v>2.54</v>
      </c>
      <c r="F6" s="7">
        <f>D6*E6</f>
        <v>2.54</v>
      </c>
      <c r="G6" s="3" t="s">
        <v>26</v>
      </c>
      <c r="H6" s="8" t="s">
        <v>28</v>
      </c>
    </row>
    <row r="7" spans="1:8" ht="16.149999999999999" customHeight="1" x14ac:dyDescent="0.25">
      <c r="A7" s="3" t="s">
        <v>46</v>
      </c>
      <c r="B7" s="2" t="s">
        <v>16</v>
      </c>
      <c r="C7" s="3" t="s">
        <v>15</v>
      </c>
      <c r="D7" s="5">
        <v>1</v>
      </c>
      <c r="E7" s="7">
        <v>1.27</v>
      </c>
      <c r="F7" s="7">
        <f>D7*E7</f>
        <v>1.27</v>
      </c>
      <c r="G7" s="3" t="s">
        <v>26</v>
      </c>
      <c r="H7" s="8" t="s">
        <v>28</v>
      </c>
    </row>
    <row r="8" spans="1:8" ht="16.149999999999999" customHeight="1" x14ac:dyDescent="0.25">
      <c r="A8" s="3" t="s">
        <v>45</v>
      </c>
      <c r="B8" s="2" t="s">
        <v>17</v>
      </c>
      <c r="C8" s="3" t="s">
        <v>18</v>
      </c>
      <c r="D8" s="5">
        <v>2</v>
      </c>
      <c r="E8" s="7">
        <f>1.01</f>
        <v>1.01</v>
      </c>
      <c r="F8" s="7">
        <f>D8*E8</f>
        <v>2.02</v>
      </c>
      <c r="G8" s="3" t="s">
        <v>26</v>
      </c>
      <c r="H8" s="8" t="s">
        <v>27</v>
      </c>
    </row>
    <row r="9" spans="1:8" ht="16.149999999999999" customHeight="1" x14ac:dyDescent="0.25">
      <c r="A9" s="3" t="s">
        <v>45</v>
      </c>
      <c r="B9" s="2" t="s">
        <v>19</v>
      </c>
      <c r="C9" s="3" t="s">
        <v>18</v>
      </c>
      <c r="D9" s="5">
        <v>1</v>
      </c>
      <c r="E9" s="7">
        <f>1.01</f>
        <v>1.01</v>
      </c>
      <c r="F9" s="7">
        <f>D9*E9</f>
        <v>1.01</v>
      </c>
      <c r="G9" s="3" t="s">
        <v>26</v>
      </c>
      <c r="H9" s="8" t="s">
        <v>27</v>
      </c>
    </row>
    <row r="10" spans="1:8" ht="16.149999999999999" customHeight="1" x14ac:dyDescent="0.25">
      <c r="A10" s="3" t="s">
        <v>44</v>
      </c>
      <c r="B10" s="2" t="s">
        <v>35</v>
      </c>
      <c r="C10" s="3" t="s">
        <v>20</v>
      </c>
      <c r="D10" s="5">
        <v>1</v>
      </c>
      <c r="E10" s="7">
        <f>8.63</f>
        <v>8.6300000000000008</v>
      </c>
      <c r="F10" s="7">
        <f>D10*E10</f>
        <v>8.6300000000000008</v>
      </c>
      <c r="G10" s="3" t="s">
        <v>26</v>
      </c>
      <c r="H10" s="8" t="s">
        <v>32</v>
      </c>
    </row>
    <row r="11" spans="1:8" ht="16.149999999999999" customHeight="1" x14ac:dyDescent="0.25">
      <c r="A11" s="3" t="s">
        <v>42</v>
      </c>
      <c r="B11" s="2" t="s">
        <v>34</v>
      </c>
      <c r="C11" s="3" t="s">
        <v>13</v>
      </c>
      <c r="D11" s="5">
        <v>1</v>
      </c>
      <c r="E11" s="7">
        <f>6.95</f>
        <v>6.95</v>
      </c>
      <c r="F11" s="7">
        <f>D11*E11</f>
        <v>6.95</v>
      </c>
      <c r="G11" s="3" t="s">
        <v>8</v>
      </c>
      <c r="H11" s="8" t="s">
        <v>33</v>
      </c>
    </row>
    <row r="12" spans="1:8" x14ac:dyDescent="0.25">
      <c r="A12" s="3" t="s">
        <v>43</v>
      </c>
      <c r="B12" s="2" t="s">
        <v>37</v>
      </c>
      <c r="C12" s="3" t="s">
        <v>21</v>
      </c>
      <c r="D12" s="5">
        <v>1</v>
      </c>
      <c r="E12" s="7">
        <f>22.39/100</f>
        <v>0.22390000000000002</v>
      </c>
      <c r="F12" s="7">
        <f>D12*E12</f>
        <v>0.22390000000000002</v>
      </c>
      <c r="G12" s="3" t="s">
        <v>26</v>
      </c>
      <c r="H12" s="8" t="s">
        <v>38</v>
      </c>
    </row>
    <row r="13" spans="1:8" x14ac:dyDescent="0.25">
      <c r="A13" s="3" t="s">
        <v>49</v>
      </c>
      <c r="B13" s="2" t="s">
        <v>50</v>
      </c>
      <c r="C13" s="3" t="s">
        <v>52</v>
      </c>
      <c r="D13" s="5">
        <v>1</v>
      </c>
      <c r="E13" s="7">
        <v>1.1849999999999999E-2</v>
      </c>
      <c r="F13" s="7">
        <f>D13*E13</f>
        <v>1.1849999999999999E-2</v>
      </c>
      <c r="G13" s="3" t="s">
        <v>26</v>
      </c>
      <c r="H13" s="8" t="s">
        <v>51</v>
      </c>
    </row>
    <row r="14" spans="1:8" x14ac:dyDescent="0.25">
      <c r="E14" s="6" t="s">
        <v>22</v>
      </c>
      <c r="F14" s="6">
        <f>SUM(F2:F12)</f>
        <v>38.461900000000007</v>
      </c>
    </row>
    <row r="15" spans="1:8" x14ac:dyDescent="0.25">
      <c r="E15" s="6" t="s">
        <v>23</v>
      </c>
      <c r="F15" s="6">
        <f>2.99+5</f>
        <v>7.99</v>
      </c>
    </row>
    <row r="16" spans="1:8" x14ac:dyDescent="0.25">
      <c r="E16" s="6" t="s">
        <v>24</v>
      </c>
      <c r="F16" s="4">
        <v>1</v>
      </c>
    </row>
    <row r="17" spans="5:6" x14ac:dyDescent="0.25">
      <c r="E17" s="6" t="s">
        <v>25</v>
      </c>
      <c r="F17" s="6">
        <f>(F14*F16)+F15</f>
        <v>46.451900000000009</v>
      </c>
    </row>
  </sheetData>
  <hyperlinks>
    <hyperlink ref="H2" r:id="rId1" xr:uid="{FC3BF146-BC99-46F9-945F-F44C77224969}"/>
    <hyperlink ref="H7" r:id="rId2" xr:uid="{424F7126-7C66-485A-A50B-48007CC225D6}"/>
    <hyperlink ref="H6" r:id="rId3" xr:uid="{8AD8C27D-36F0-4E89-81BA-867F67FD346B}"/>
    <hyperlink ref="H3" r:id="rId4" xr:uid="{7D65D72F-D8F9-4D6C-ADA1-67D04296A823}"/>
    <hyperlink ref="H4" r:id="rId5" display="https://www.amazon.es/-/pt/dp/B0D2CSHWC4/ref=sr_1_2?crid=12UDURNQ6RAD3&amp;dib=eyJ2IjoiMSJ9.93x-JXoWGyvqTQjn3qoWrmFCRt8MBHl_2Y6KH6y4xiTROmfdMIF293bc3cbGYz3g10x7b5rOjaHMKsyF0ZA7zyyRLAgbo6oU38YV8EU6UfGhd4jm7VDTdANf7YAcF0-ZYD6mjdgZab_cIzGZ00zH9JVBF9iTtJQ4LomqsTJS-pd_ZUuI8S17qJ0AGHzOWnXfUaUTwPp2AcvGu831QrgeLB3V8JwmnUlRZjI6Bvc1f1DbWp2N00646n__JEYF0kIzoTV4ygcUkQtbejs0KrT6NX93fB3pDsywGh7oxVDQQ3Q.0_QBLsu6AdKROfhlG0OVzQEAv_rH_7dKIsQGUEeofyc&amp;dib_tag=se&amp;keywords=step+up+small&amp;qid=1775335372&amp;sprefix=step+up+small%2Caps%2C189&amp;sr=8-2" xr:uid="{B65AF2DB-D278-4FF5-A175-86B1BC9A6713}"/>
    <hyperlink ref="H5" r:id="rId6" xr:uid="{A2884EFE-F3C1-4DD4-99D0-DEE133509394}"/>
    <hyperlink ref="H8" r:id="rId7" xr:uid="{F87C1B55-A809-4CFD-A1C7-43C9EFA1A699}"/>
    <hyperlink ref="H9" r:id="rId8" xr:uid="{64EF0560-4000-49C7-8006-795B89044475}"/>
    <hyperlink ref="H10" r:id="rId9" xr:uid="{E6727BC6-E305-494E-B746-86C57E33A454}"/>
    <hyperlink ref="H11" r:id="rId10" xr:uid="{2ED4A6E9-FC0C-42B6-BB34-7F617DC427F5}"/>
    <hyperlink ref="H12" r:id="rId11" display="https://www.amazon.es/-/pt/dp/B078XRLXR8/ref=sr_1_6?crid=1A7HSD94194ED&amp;dib=eyJ2IjoiMSJ9.4ispZL_NZNEBlGK98tlzLWT32MYmxZWoRE_pXpeFoD22D2NOYsw_hjtlhRE98ZMd3dRNvkcEtJdXIviG65jz4CIkS5emK91GLtWWkl13FJ7h5tjjDcHdKFOxE0F4WcDclsMg8hgqZep_GJpfyN4YQRJ_-P2sQn0JgQAfBl8ynZDd9cTzozr4CAbyNcHURxPqsbF8NhyIzOZsAewSGshAPL--Wmeq5xndyU8_tyqz6Pi0iUO7zLFS4-XRNTITTSNjE3_gTR2x03vWD--o8TnAF5Q6Kg7RCvjB8UjmcgTraMU.TOFkY2-iciqnnniApTdRnJ2pKCDiWx6XmPo-kcIELcA&amp;dib_tag=se&amp;keywords=cartao+micro+sd+2gb&amp;qid=1775335841&amp;s=computers&amp;sprefix=cartao+micro+sd+2gb%2Ccomputers%2C85&amp;sr=1-6" xr:uid="{607FDFD0-A3FD-4FAE-ADE5-54B2493F8168}"/>
    <hyperlink ref="H13" r:id="rId12" display="https://www.amazon.es/-/pt/dp/B07PXYY4HV/ref=sr_1_9?crid=13PMDFLZLBCWH&amp;dib=eyJ2IjoiMSJ9.3_ZPny1UT5FGqZdo1-iCYqxOkWE_i8gJrelub6fvMo9DXcHORk5s8Etdt6XPqhd7FE6siXyA8jICqpz_khkIotNAhSPb8PszIr2jn8fvhHZNyAMMjYqw_BtLKrnrOXFsaWULqS_5zxronco8lVPkccfZjdS6OVmhm7E-s8lV2C4yfjbgY_EJruaX2oSbr0QsGfPBvVvG4zC7kNE49Hym9ina9ntFKNTPrV2XbcBhfb8M4_jADZFr26k37FmBEbjfTa7IYkFLDDYDxOIFuow-DFgCfgdsH6BfuBgxA4LMymo.MfUMTSbdFztnko03teoT6mtyLpUzklk-Zl0OC_KCJ_k&amp;dib_tag=se&amp;keywords=resistencias+arduino&amp;qid=1775337072&amp;sprefix=resistencias+arduino%2Caps%2C107&amp;sr=8-9" xr:uid="{23CD0DA0-4B57-46AC-8684-34AA1FC9DC5A}"/>
  </hyperlinks>
  <pageMargins left="0.7" right="0.7" top="0.75" bottom="0.75" header="0.3" footer="0.3"/>
  <pageSetup paperSize="9" orientation="portrait" r:id="rId1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Nathan Campos</dc:creator>
  <cp:keywords/>
  <dc:description/>
  <cp:lastModifiedBy>Bernardo Carvalho</cp:lastModifiedBy>
  <cp:revision/>
  <dcterms:created xsi:type="dcterms:W3CDTF">2024-03-18T14:16:46Z</dcterms:created>
  <dcterms:modified xsi:type="dcterms:W3CDTF">2026-04-04T21:30:58Z</dcterms:modified>
  <cp:category/>
  <cp:contentStatus/>
</cp:coreProperties>
</file>