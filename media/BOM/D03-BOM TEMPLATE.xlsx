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\Desktop\BOM\"/>
    </mc:Choice>
  </mc:AlternateContent>
  <xr:revisionPtr revIDLastSave="0" documentId="13_ncr:1_{2AC4F961-2E17-424F-841F-836F66798713}" xr6:coauthVersionLast="47" xr6:coauthVersionMax="47" xr10:uidLastSave="{00000000-0000-0000-0000-000000000000}"/>
  <bookViews>
    <workbookView xWindow="-120" yWindow="-120" windowWidth="29040" windowHeight="15720" xr2:uid="{F4B72E9B-FD68-F44A-BEA0-E86096EC11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8" i="1"/>
  <c r="F2" i="1"/>
  <c r="F3" i="1"/>
  <c r="F4" i="1"/>
  <c r="F5" i="1"/>
  <c r="F9" i="1"/>
  <c r="F6" i="1"/>
  <c r="E7" i="1"/>
  <c r="F7" i="1" s="1"/>
  <c r="F16" i="1"/>
  <c r="F15" i="1" l="1"/>
  <c r="F18" i="1"/>
</calcChain>
</file>

<file path=xl/sharedStrings.xml><?xml version="1.0" encoding="utf-8"?>
<sst xmlns="http://schemas.openxmlformats.org/spreadsheetml/2006/main" count="77" uniqueCount="59">
  <si>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</si>
  <si>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</si>
  <si>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</si>
  <si>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</si>
  <si>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</si>
  <si>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</si>
  <si>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</si>
  <si>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</si>
  <si>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Mauser</t>
  </si>
  <si>
    <t>ESP32-WROOM-32</t>
  </si>
  <si>
    <t>Módulo ESP32 Wroom NodeMcu WiFi</t>
  </si>
  <si>
    <t>Microcontrolador</t>
  </si>
  <si>
    <t>Step UP</t>
  </si>
  <si>
    <t>Alimentação</t>
  </si>
  <si>
    <t>Interface</t>
  </si>
  <si>
    <t>Sub-Total</t>
  </si>
  <si>
    <t>Transporte</t>
  </si>
  <si>
    <t>Quantidade</t>
  </si>
  <si>
    <t>Total</t>
  </si>
  <si>
    <t>Amazon</t>
  </si>
  <si>
    <t>https://www.amazon.es/dp/B0C9TGJRPH?ref=ppx_yo2ov_dt_b_fed_asin_title&amp;th=1</t>
  </si>
  <si>
    <t>https://www.amazon.es/dp/B0D8Q7NG96?ref=ppx_yo2ov_dt_b_fed_asin_title</t>
  </si>
  <si>
    <t>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</t>
  </si>
  <si>
    <t>https://mauser.pt/035-5296/bateria-3-7v-750mah-li-po-21x58x6mm</t>
  </si>
  <si>
    <t>Bateria 3.7V 750mAh Li-Po</t>
  </si>
  <si>
    <t xml:space="preserve">Módulo de Carregamento de Bateria </t>
  </si>
  <si>
    <t>Interruptor</t>
  </si>
  <si>
    <t>https://mauser.pt/010-0259/interruptor-basculante-unipolar-branco-off-on-i-0-spst-250v-3a</t>
  </si>
  <si>
    <t>010-0259</t>
  </si>
  <si>
    <t>035-5296</t>
  </si>
  <si>
    <t>‎X110</t>
  </si>
  <si>
    <t>T775</t>
  </si>
  <si>
    <t>https://www.amazon.es/-/pt/dp/B0BTV9TD36/ref=sr_1_6?dib=eyJ2IjoiMSJ9.RFz-UVeHuZQQ48lmqdJWezYA024v4jkM6jNgGcvcvp4_kYpd2xTPR5X6Rz7CB3FNZsypE58rUndyP6aalyq5kfsUhMjg3qsdhBwKVix2CvJtLaJXrn7h9cB2VRDeTN0llz5V_YSezUeM5DOI_7d63hDwsTvVNNDtRQDqpqalm_GFd1uwNfeUhfVv9uNWMx_H-3LJoe_iydXiB3yCxkhzeesIAur2XrhGe9o_kkEg37RtsHSbpzC3tYJGJoC3NuyIf4laMM4VYjq8Nj-gOTtlyb2vaqrXBwWsogR2gO4tdVY.L9PBx1zQXGhBULqYnIi2A9NwVqvG17NUb-_UnFQYMMg&amp;dib_tag=se&amp;keywords=WS2812B&amp;qid=1775336804&amp;sr=8-6&amp;th=1</t>
  </si>
  <si>
    <t>CUQI WS2812B Faixa LED</t>
  </si>
  <si>
    <t>WLR-01</t>
  </si>
  <si>
    <t>‎00473</t>
  </si>
  <si>
    <t>Resistor 330</t>
  </si>
  <si>
    <t>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</t>
  </si>
  <si>
    <t>https://www.amazon.es/-/pt/dp/B0D315RFLB/ref=sr_1_1?crid=RHKQ71HE05D7&amp;dib=eyJ2IjoiMSJ9.e3nMVLAp3yiQAbnr8nIupEtyFtVNeVXMOIkd1FL3NfQy5Q3ZpX7oceWuOlbTc0k-z2KuCMx-uTq0wPf_kPp86r32dfFfxz2r0r1wHhDxq-YeeEe-DQtuNE6ZxaAUvZfsCVuiNf5xJbZIye9GaytSYL829bv1OGLK08DnomExAiVE2u7zpKWgUTmPT-dqzGFVPHvW21IiczNPrEs3yZGEvr6K8QP-zWWvUxtQbmcRTYXSRQogHFcoy3oVKVWMuM2aa_1O4Zeyn7TopRZOzLFxodbdW3wk9KObTam8YxZxIpE.c4r8X4SgcSb6XR4PNbhTwGZD6KJCbWvjUY2LvOwJxtA&amp;dib_tag=se&amp;keywords=AO3400A+%28MOSFET%29&amp;qid=1775337500&amp;sprefix=ao3400a+mosfet+%2Caps%2C132&amp;sr=8-1</t>
  </si>
  <si>
    <t>AO3400A (MOSFET)</t>
  </si>
  <si>
    <t>‎787-BI</t>
  </si>
  <si>
    <t>1N4007 Diodo</t>
  </si>
  <si>
    <t>https://www.amazon.es/-/pt/dp/B01F4SQ6KU/ref=sr_1_3?crid=23W7HH39ZNHYH&amp;dib=eyJ2IjoiMSJ9.pF6OQ--UNglLTbUAmLHI1ziUwvlo_WaCFYLg1Jkjbii_jIxj97TR-Vpz8ozeQVSUqTK2uCq7wwXAZwC1dB4QQOts-6khNAgr915PrVWjrYrrgZ4rnNBb0qJ2e2XjlgZmTTouc1EUmSntOj0IY6RtdjEk0U-Mnq21UhEYH6tdCDsZ5xHdY3m_gB9gGAqampojFGyNitp-YvI-C9M_ikTIiAoX2jEWwZOfpUJ4_bfQqgA4SAalRGI599EiGKBPeHLHMdrC_RIf2Q0OaVV9c11pcensKV8K4bROllA5FzlIBtE._9bCkVhvNr5-HfQ3AqsoRTE8xxW9myXgPFnI3VWo9vY&amp;dib_tag=se&amp;keywords=diodo+1n4007&amp;qid=1775337648&amp;sprefix=díodo+1n4007%2Caps%2C120&amp;sr=8-3</t>
  </si>
  <si>
    <t>‎4ELE15-B100</t>
  </si>
  <si>
    <t>Sensor IR (TCRT5000)</t>
  </si>
  <si>
    <t>Latest</t>
  </si>
  <si>
    <t>https://www.amazon.es/-/pt/dp/B07L3NRTF7/ref=sr_1_7?crid=17OZVJORC0V5&amp;dib=eyJ2IjoiMSJ9.VxuvM5hgdEa_-FNTUwIzgtrLcMoSFR8NxN39LBhXVXt0kkXHsX4YNh2XYvKb4ftUCT2RIHtwYH8TpyXOA_ZzG9OFvGeWkdccRt0rWulO6yZDC2KI5hNB3MzKeftu-_eSABxQRCkXlar48Yd5hcSQIbbT0mcuf_ek-AuWnFCUJAw1Dh7o1drRfyfcrXUfFMRVJs5C1t51L4ee8BSNS55WjC-T4rN2VMDiZfBBWJSM4ogYsgiuAOXWydBIxWK0WtF4MvMuJbJyl3-SHEdrbc_WTjxm99dN6myJ25Eke1WEHZY.H8S16J-LPMO5FYB8yvX9ypBuSJpTVzoSo6FuPogPGrc&amp;dib_tag=se&amp;keywords=Sensor+IR+%28TCRT5000%29&amp;qid=1775337720&amp;sprefix=sensor+ir+tcrt5000+%2Caps%2C129&amp;sr=8-7</t>
  </si>
  <si>
    <t>Resistor 10k</t>
  </si>
  <si>
    <t>Motor vibração plano 3 V</t>
  </si>
  <si>
    <t>Garosaq3nf425c9r-02</t>
  </si>
  <si>
    <t>https://www.amazon.es/-/pt/dp/B0839H19HY/ref=sr_1_2?crid=114W5N3ROMWBL&amp;dib=eyJ2IjoiMSJ9.kgyDWiWrR8ecwBQ7qvr8VhbXXamj_YH8cRQvIfa8kUkeOkhmuCfMxbdYgF6UpwVJXl5DmovAvAq24IvF9YZQDy3ryikCDlWIHZFK25fKG6JCltHIwzZQuz6K4-Lke3HO629eAS6x4WhLE1a5drXeUnb_rP-Fg1HwHGfrCl3KwINXMvkUD6VfcqdOuHgfVrdhlojlmBZkLw0Ydh9r6qJBdS7ft0dzb4gncsmnPeFmQjrxD9ixfLV5ApSnJM_ShAnPZ53sopLUVMRF2vqT6nllIUxxzb5pKnRQGozBe-lMCAU.sj9qJ9295GKAmcHK_iWJDiv7jLB9jGu4Jim6JqPwQwU&amp;dib_tag=se&amp;keywords=Coin+vibration+motor+3V&amp;qid=1775337990&amp;sprefix=coin+vibration+motor+3v%2Caps%2C125&amp;sr=8-2</t>
  </si>
  <si>
    <t>Passivo</t>
  </si>
  <si>
    <t>Semicondutor</t>
  </si>
  <si>
    <t>Sensor</t>
  </si>
  <si>
    <t>Atuador</t>
  </si>
  <si>
    <t>Mini 310 Foam Pump</t>
  </si>
  <si>
    <t>DC 3V 3.7V Micro 310 Motor Foam Pump Soap</t>
  </si>
  <si>
    <t>Aliexpress</t>
  </si>
  <si>
    <t>https://pt.aliexpress.com/item/1005006320201874.html?src=google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1005006320201874&amp;ds_e_product_merchant_id=5295246745&amp;ds_e_product_country=PT&amp;ds_e_product_language=pt&amp;ds_e_product_channel=online&amp;ds_e_product_store_id=&amp;ds_url_v=2&amp;albcp=22568097293&amp;albag=&amp;isSmbAutoCall=false&amp;needSmbHouyi=false&amp;gad_source=1&amp;gad_campaignid=22561749573&amp;gclid=Cj0KCQjw7cLOBhDmARIsAGsuA0kun4oh-TMdB4wI6mu6cCwLk9XSpATxOg640u9t43OiDC2u0GZ1RcYaAq9c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</si>
</sst>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-/pt/dp/B0D315RFLB/ref=sr_1_1?crid=RHKQ71HE05D7&amp;dib=eyJ2IjoiMSJ9.e3nMVLAp3yiQAbnr8nIupEtyFtVNeVXMOIkd1FL3NfQy5Q3ZpX7oceWuOlbTc0k-z2KuCMx-uTq0wPf_kPp86r32dfFfxz2r0r1wHhDxq-YeeEe-DQtuNE6ZxaAUvZfsCVuiNf5xJbZIye9GaytSYL829bv1OGLK08DnomExAiVE2u7zpKWgUTmPT-dqzGFVPHvW21IiczNPrEs3yZGEvr6K8QP-zWWvUxtQbmcRTYXSRQogHFcoy3oVKVWMuM2aa_1O4Zeyn7TopRZOzLFxodbdW3wk9KObTam8YxZxIpE.c4r8X4SgcSb6XR4PNbhTwGZD6KJCbWvjUY2LvOwJxtA&amp;dib_tag=se&amp;keywords=AO3400A+%28MOSFET%29&amp;qid=1775337500&amp;sprefix=ao3400a+mosfet+%2Caps%2C132&amp;sr=8-1" TargetMode="External"/><Relationship Id="rId13" Type="http://schemas.openxmlformats.org/officeDocument/2006/relationships/hyperlink" Target="https://pt.aliexpress.com/item/1005006320201874.html?src=google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6320201874&amp;ds_e_product_merchant_id=5295246745&amp;ds_e_product_country=PT&amp;ds_e_product_language=pt&amp;ds_e_product_channel=online&amp;ds_e_product_store_id=&amp;ds_url_v=2&amp;albcp=22568097293&amp;albag=&amp;isSmbAutoCall=false&amp;needSmbHouyi=false&amp;gad_source=1&amp;gad_campaignid=22561749573&amp;gclid=Cj0KCQjw7cLOBhDmARIsAGsuA0kun4oh-TMdB4wI6mu6cCwLk9XSpATxOg640u9t43OiDC2u0GZ1RcYaAq9cEALw_wcB" TargetMode="External"/><Relationship Id="rId3" Type="http://schemas.openxmlformats.org/officeDocument/2006/relationships/hyperlink" Target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TargetMode="External"/><Relationship Id="rId7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12" Type="http://schemas.openxmlformats.org/officeDocument/2006/relationships/hyperlink" Target="https://www.amazon.es/-/pt/dp/B0839H19HY/ref=sr_1_2?crid=114W5N3ROMWBL&amp;dib=eyJ2IjoiMSJ9.kgyDWiWrR8ecwBQ7qvr8VhbXXamj_YH8cRQvIfa8kUkeOkhmuCfMxbdYgF6UpwVJXl5DmovAvAq24IvF9YZQDy3ryikCDlWIHZFK25fKG6JCltHIwzZQuz6K4-Lke3HO629eAS6x4WhLE1a5drXeUnb_rP-Fg1HwHGfrCl3KwINXMvkUD6VfcqdOuHgfVrdhlojlmBZkLw0Ydh9r6qJBdS7ft0dzb4gncsmnPeFmQjrxD9ixfLV5ApSnJM_ShAnPZ53sopLUVMRF2vqT6nllIUxxzb5pKnRQGozBe-lMCAU.sj9qJ9295GKAmcHK_iWJDiv7jLB9jGu4Jim6JqPwQwU&amp;dib_tag=se&amp;keywords=Coin+vibration+motor+3V&amp;qid=1775337990&amp;sprefix=coin+vibration+motor+3v%2Caps%2C125&amp;sr=8-2" TargetMode="External"/><Relationship Id="rId2" Type="http://schemas.openxmlformats.org/officeDocument/2006/relationships/hyperlink" Target="https://www.amazon.es/dp/B0C9TGJRPH?ref=ppx_yo2ov_dt_b_fed_asin_title&amp;th=1" TargetMode="External"/><Relationship Id="rId1" Type="http://schemas.openxmlformats.org/officeDocument/2006/relationships/hyperlink" Target="https://mauser.pt/010-0259/interruptor-basculante-unipolar-branco-off-on-i-0-spst-250v-3a" TargetMode="External"/><Relationship Id="rId6" Type="http://schemas.openxmlformats.org/officeDocument/2006/relationships/hyperlink" Target="https://www.amazon.es/-/pt/dp/B0BTV9TD36/ref=sr_1_6?dib=eyJ2IjoiMSJ9.RFz-UVeHuZQQ48lmqdJWezYA024v4jkM6jNgGcvcvp4_kYpd2xTPR5X6Rz7CB3FNZsypE58rUndyP6aalyq5kfsUhMjg3qsdhBwKVix2CvJtLaJXrn7h9cB2VRDeTN0llz5V_YSezUeM5DOI_7d63hDwsTvVNNDtRQDqpqalm_GFd1uwNfeUhfVv9uNWMx_H-3LJoe_iydXiB3yCxkhzeesIAur2XrhGe9o_kkEg37RtsHSbpzC3tYJGJoC3NuyIf4laMM4VYjq8Nj-gOTtlyb2vaqrXBwWsogR2gO4tdVY.L9PBx1zQXGhBULqYnIi2A9NwVqvG17NUb-_UnFQYMMg&amp;dib_tag=se&amp;keywords=WS2812B&amp;qid=1775336804&amp;sr=8-6&amp;th=1" TargetMode="External"/><Relationship Id="rId11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5" Type="http://schemas.openxmlformats.org/officeDocument/2006/relationships/hyperlink" Target="https://mauser.pt/035-5296/bateria-3-7v-750mah-li-po-21x58x6mm" TargetMode="External"/><Relationship Id="rId10" Type="http://schemas.openxmlformats.org/officeDocument/2006/relationships/hyperlink" Target="https://www.amazon.es/-/pt/dp/B07L3NRTF7/ref=sr_1_7?crid=17OZVJORC0V5&amp;dib=eyJ2IjoiMSJ9.VxuvM5hgdEa_-FNTUwIzgtrLcMoSFR8NxN39LBhXVXt0kkXHsX4YNh2XYvKb4ftUCT2RIHtwYH8TpyXOA_ZzG9OFvGeWkdccRt0rWulO6yZDC2KI5hNB3MzKeftu-_eSABxQRCkXlar48Yd5hcSQIbbT0mcuf_ek-AuWnFCUJAw1Dh7o1drRfyfcrXUfFMRVJs5C1t51L4ee8BSNS55WjC-T4rN2VMDiZfBBWJSM4ogYsgiuAOXWydBIxWK0WtF4MvMuJbJyl3-SHEdrbc_WTjxm99dN6myJ25Eke1WEHZY.H8S16J-LPMO5FYB8yvX9ypBuSJpTVzoSo6FuPogPGrc&amp;dib_tag=se&amp;keywords=Sensor+IR+%28TCRT5000%29&amp;qid=1775337720&amp;sprefix=sensor+ir+tcrt5000+%2Caps%2C129&amp;sr=8-7" TargetMode="External"/><Relationship Id="rId4" Type="http://schemas.openxmlformats.org/officeDocument/2006/relationships/hyperlink" Target="https://www.amazon.es/dp/B0D8Q7NG96?ref=ppx_yo2ov_dt_b_fed_asin_title" TargetMode="External"/><Relationship Id="rId9" Type="http://schemas.openxmlformats.org/officeDocument/2006/relationships/hyperlink" Target="https://www.amazon.es/-/pt/dp/B01F4SQ6KU/ref=sr_1_3?crid=23W7HH39ZNHYH&amp;dib=eyJ2IjoiMSJ9.pF6OQ--UNglLTbUAmLHI1ziUwvlo_WaCFYLg1Jkjbii_jIxj97TR-Vpz8ozeQVSUqTK2uCq7wwXAZwC1dB4QQOts-6khNAgr915PrVWjrYrrgZ4rnNBb0qJ2e2XjlgZmTTouc1EUmSntOj0IY6RtdjEk0U-Mnq21UhEYH6tdCDsZ5xHdY3m_gB9gGAqampojFGyNitp-YvI-C9M_ikTIiAoX2jEWwZOfpUJ4_bfQqgA4SAalRGI599EiGKBPeHLHMdrC_RIf2Q0OaVV9c11pcensKV8K4bROllA5FzlIBtE._9bCkVhvNr5-HfQ3AqsoRTE8xxW9myXgPFnI3VWo9vY&amp;dib_tag=se&amp;keywords=diodo+1n4007&amp;qid=1775337648&amp;sprefix=d&#237;odo+1n4007%2Caps%2C120&amp;sr=8-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B9A-0911-DB42-B99E-A1ED589BEDF8}">
  <dimension ref="A1:H18"/>
  <sheetViews>
    <sheetView tabSelected="1" zoomScaleNormal="100" workbookViewId="0">
      <selection activeCell="B16" sqref="B16"/>
    </sheetView>
  </sheetViews>
  <sheetFormatPr defaultColWidth="11.25" defaultRowHeight="15.75" x14ac:dyDescent="0.25"/>
  <cols>
    <col min="1" max="1" width="21" style="3" customWidth="1"/>
    <col min="2" max="2" width="45.75" style="2" customWidth="1"/>
    <col min="3" max="3" width="16.75" style="3" customWidth="1"/>
    <col min="4" max="4" width="6.75" style="5" customWidth="1"/>
    <col min="5" max="6" width="11.75" style="7" customWidth="1"/>
    <col min="7" max="7" width="17.75" style="3" customWidth="1"/>
    <col min="8" max="8" width="59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6" t="s">
        <v>5</v>
      </c>
      <c r="G1" s="1" t="s">
        <v>6</v>
      </c>
      <c r="H1" s="1" t="s">
        <v>7</v>
      </c>
    </row>
    <row r="2" spans="1:8" x14ac:dyDescent="0.25">
      <c r="A2" s="3" t="s">
        <v>28</v>
      </c>
      <c r="B2" s="2" t="s">
        <v>26</v>
      </c>
      <c r="C2" s="3" t="s">
        <v>14</v>
      </c>
      <c r="D2" s="5">
        <v>1</v>
      </c>
      <c r="E2" s="7">
        <v>0.69</v>
      </c>
      <c r="F2" s="7">
        <f t="shared" ref="F2:F13" si="0">D2*E2</f>
        <v>0.69</v>
      </c>
      <c r="G2" s="3" t="s">
        <v>8</v>
      </c>
      <c r="H2" s="8" t="s">
        <v>27</v>
      </c>
    </row>
    <row r="3" spans="1:8" x14ac:dyDescent="0.25">
      <c r="A3" s="3" t="s">
        <v>9</v>
      </c>
      <c r="B3" s="2" t="s">
        <v>10</v>
      </c>
      <c r="C3" s="3" t="s">
        <v>11</v>
      </c>
      <c r="D3" s="5">
        <v>1</v>
      </c>
      <c r="E3" s="7">
        <v>13.16</v>
      </c>
      <c r="F3" s="7">
        <f t="shared" si="0"/>
        <v>13.16</v>
      </c>
      <c r="G3" s="3" t="s">
        <v>19</v>
      </c>
      <c r="H3" s="8" t="s">
        <v>20</v>
      </c>
    </row>
    <row r="4" spans="1:8" x14ac:dyDescent="0.25">
      <c r="A4" s="3" t="s">
        <v>31</v>
      </c>
      <c r="B4" s="2" t="s">
        <v>12</v>
      </c>
      <c r="C4" s="3" t="s">
        <v>13</v>
      </c>
      <c r="D4" s="5">
        <v>1</v>
      </c>
      <c r="E4" s="7">
        <v>0.81200000000000006</v>
      </c>
      <c r="F4" s="7">
        <f t="shared" si="0"/>
        <v>0.81200000000000006</v>
      </c>
      <c r="G4" s="3" t="s">
        <v>19</v>
      </c>
      <c r="H4" s="8" t="s">
        <v>22</v>
      </c>
    </row>
    <row r="5" spans="1:8" x14ac:dyDescent="0.25">
      <c r="A5" s="9" t="s">
        <v>30</v>
      </c>
      <c r="B5" s="2" t="s">
        <v>25</v>
      </c>
      <c r="C5" s="3" t="s">
        <v>13</v>
      </c>
      <c r="D5" s="5">
        <v>1</v>
      </c>
      <c r="E5" s="7">
        <v>1.1559999999999999</v>
      </c>
      <c r="F5" s="7">
        <f t="shared" si="0"/>
        <v>1.1559999999999999</v>
      </c>
      <c r="G5" s="3" t="s">
        <v>19</v>
      </c>
      <c r="H5" s="8" t="s">
        <v>21</v>
      </c>
    </row>
    <row r="6" spans="1:8" x14ac:dyDescent="0.25">
      <c r="A6" s="3" t="s">
        <v>34</v>
      </c>
      <c r="B6" s="2" t="s">
        <v>33</v>
      </c>
      <c r="C6" s="3" t="s">
        <v>14</v>
      </c>
      <c r="D6" s="5">
        <v>6</v>
      </c>
      <c r="E6" s="7">
        <v>8.4599999999999995E-2</v>
      </c>
      <c r="F6" s="7">
        <f t="shared" si="0"/>
        <v>0.50759999999999994</v>
      </c>
      <c r="G6" s="3" t="s">
        <v>19</v>
      </c>
      <c r="H6" s="8" t="s">
        <v>32</v>
      </c>
    </row>
    <row r="7" spans="1:8" ht="16.149999999999999" customHeight="1" x14ac:dyDescent="0.25">
      <c r="A7" s="3" t="s">
        <v>29</v>
      </c>
      <c r="B7" s="2" t="s">
        <v>24</v>
      </c>
      <c r="C7" s="3" t="s">
        <v>13</v>
      </c>
      <c r="D7" s="5">
        <v>1</v>
      </c>
      <c r="E7" s="7">
        <f>6.95</f>
        <v>6.95</v>
      </c>
      <c r="F7" s="7">
        <f t="shared" si="0"/>
        <v>6.95</v>
      </c>
      <c r="G7" s="3" t="s">
        <v>8</v>
      </c>
      <c r="H7" s="8" t="s">
        <v>23</v>
      </c>
    </row>
    <row r="8" spans="1:8" ht="16.149999999999999" customHeight="1" x14ac:dyDescent="0.25">
      <c r="A8" s="3" t="s">
        <v>35</v>
      </c>
      <c r="B8" s="2" t="s">
        <v>36</v>
      </c>
      <c r="C8" s="3" t="s">
        <v>51</v>
      </c>
      <c r="D8" s="5">
        <v>1</v>
      </c>
      <c r="E8" s="7">
        <v>0.01</v>
      </c>
      <c r="F8" s="7">
        <f t="shared" si="0"/>
        <v>0.01</v>
      </c>
      <c r="G8" s="3" t="s">
        <v>19</v>
      </c>
      <c r="H8" s="8" t="s">
        <v>37</v>
      </c>
    </row>
    <row r="9" spans="1:8" ht="16.149999999999999" customHeight="1" x14ac:dyDescent="0.25">
      <c r="A9" s="3" t="s">
        <v>35</v>
      </c>
      <c r="B9" s="2" t="s">
        <v>47</v>
      </c>
      <c r="C9" s="3" t="s">
        <v>51</v>
      </c>
      <c r="D9" s="5">
        <v>6</v>
      </c>
      <c r="E9" s="7">
        <v>0.01</v>
      </c>
      <c r="F9" s="7">
        <f t="shared" si="0"/>
        <v>0.06</v>
      </c>
      <c r="G9" s="3" t="s">
        <v>19</v>
      </c>
      <c r="H9" s="8" t="s">
        <v>37</v>
      </c>
    </row>
    <row r="10" spans="1:8" ht="16.149999999999999" customHeight="1" x14ac:dyDescent="0.25">
      <c r="A10" s="3" t="s">
        <v>40</v>
      </c>
      <c r="B10" s="2" t="s">
        <v>39</v>
      </c>
      <c r="C10" s="3" t="s">
        <v>52</v>
      </c>
      <c r="D10" s="5">
        <v>7</v>
      </c>
      <c r="E10" s="7">
        <v>0.2248</v>
      </c>
      <c r="F10" s="7">
        <f t="shared" si="0"/>
        <v>1.5735999999999999</v>
      </c>
      <c r="G10" s="3" t="s">
        <v>19</v>
      </c>
      <c r="H10" s="8" t="s">
        <v>38</v>
      </c>
    </row>
    <row r="11" spans="1:8" ht="16.149999999999999" customHeight="1" x14ac:dyDescent="0.25">
      <c r="A11" s="3" t="s">
        <v>43</v>
      </c>
      <c r="B11" s="2" t="s">
        <v>41</v>
      </c>
      <c r="C11" s="3" t="s">
        <v>52</v>
      </c>
      <c r="D11" s="5">
        <v>7</v>
      </c>
      <c r="E11" s="7">
        <v>6.0900000000000003E-2</v>
      </c>
      <c r="F11" s="7">
        <f t="shared" si="0"/>
        <v>0.42630000000000001</v>
      </c>
      <c r="G11" s="3" t="s">
        <v>19</v>
      </c>
      <c r="H11" s="8" t="s">
        <v>42</v>
      </c>
    </row>
    <row r="12" spans="1:8" x14ac:dyDescent="0.25">
      <c r="A12" s="3" t="s">
        <v>45</v>
      </c>
      <c r="B12" t="s">
        <v>44</v>
      </c>
      <c r="C12" s="3" t="s">
        <v>53</v>
      </c>
      <c r="D12" s="5">
        <v>1</v>
      </c>
      <c r="E12" s="7">
        <v>1.2190000000000001</v>
      </c>
      <c r="F12" s="7">
        <f t="shared" si="0"/>
        <v>1.2190000000000001</v>
      </c>
      <c r="G12" s="3" t="s">
        <v>19</v>
      </c>
      <c r="H12" s="8" t="s">
        <v>46</v>
      </c>
    </row>
    <row r="13" spans="1:8" x14ac:dyDescent="0.25">
      <c r="A13" s="3" t="s">
        <v>49</v>
      </c>
      <c r="B13" s="2" t="s">
        <v>48</v>
      </c>
      <c r="C13" s="3" t="s">
        <v>54</v>
      </c>
      <c r="D13" s="5">
        <v>6</v>
      </c>
      <c r="E13" s="7">
        <v>2.0219999999999998</v>
      </c>
      <c r="F13" s="7">
        <f t="shared" si="0"/>
        <v>12.131999999999998</v>
      </c>
      <c r="G13" s="3" t="s">
        <v>19</v>
      </c>
      <c r="H13" s="8" t="s">
        <v>50</v>
      </c>
    </row>
    <row r="14" spans="1:8" x14ac:dyDescent="0.25">
      <c r="A14" s="3" t="s">
        <v>55</v>
      </c>
      <c r="B14" s="2" t="s">
        <v>56</v>
      </c>
      <c r="C14" s="3" t="s">
        <v>54</v>
      </c>
      <c r="D14" s="5">
        <v>1</v>
      </c>
      <c r="E14" s="7">
        <v>0.88</v>
      </c>
      <c r="F14" s="7">
        <f>D14*E14</f>
        <v>0.88</v>
      </c>
      <c r="G14" s="3" t="s">
        <v>57</v>
      </c>
      <c r="H14" s="8" t="s">
        <v>58</v>
      </c>
    </row>
    <row r="15" spans="1:8" x14ac:dyDescent="0.25">
      <c r="E15" s="6" t="s">
        <v>15</v>
      </c>
      <c r="F15" s="6">
        <f>SUM(F2:F13)</f>
        <v>38.6965</v>
      </c>
    </row>
    <row r="16" spans="1:8" x14ac:dyDescent="0.25">
      <c r="E16" s="6" t="s">
        <v>16</v>
      </c>
      <c r="F16" s="6">
        <f>2.99+5</f>
        <v>7.99</v>
      </c>
    </row>
    <row r="17" spans="5:6" x14ac:dyDescent="0.25">
      <c r="E17" s="6" t="s">
        <v>17</v>
      </c>
      <c r="F17" s="4">
        <v>1</v>
      </c>
    </row>
    <row r="18" spans="5:6" x14ac:dyDescent="0.25">
      <c r="E18" s="6" t="s">
        <v>18</v>
      </c>
      <c r="F18" s="6">
        <f>(F15*F17)+F16</f>
        <v>46.686500000000002</v>
      </c>
    </row>
  </sheetData>
  <hyperlinks>
    <hyperlink ref="H2" r:id="rId1" xr:uid="{FC3BF146-BC99-46F9-945F-F44C77224969}"/>
    <hyperlink ref="H3" r:id="rId2" xr:uid="{7D65D72F-D8F9-4D6C-ADA1-67D04296A823}"/>
    <hyperlink ref="H4" r:id="rId3" display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xr:uid="{B65AF2DB-D278-4FF5-A175-86B1BC9A6713}"/>
    <hyperlink ref="H5" r:id="rId4" xr:uid="{A2884EFE-F3C1-4DD4-99D0-DEE133509394}"/>
    <hyperlink ref="H7" r:id="rId5" xr:uid="{2ED4A6E9-FC0C-42B6-BB34-7F617DC427F5}"/>
    <hyperlink ref="H6" r:id="rId6" display="https://www.amazon.es/-/pt/dp/B0BTV9TD36/ref=sr_1_6?dib=eyJ2IjoiMSJ9.RFz-UVeHuZQQ48lmqdJWezYA024v4jkM6jNgGcvcvp4_kYpd2xTPR5X6Rz7CB3FNZsypE58rUndyP6aalyq5kfsUhMjg3qsdhBwKVix2CvJtLaJXrn7h9cB2VRDeTN0llz5V_YSezUeM5DOI_7d63hDwsTvVNNDtRQDqpqalm_GFd1uwNfeUhfVv9uNWMx_H-3LJoe_iydXiB3yCxkhzeesIAur2XrhGe9o_kkEg37RtsHSbpzC3tYJGJoC3NuyIf4laMM4VYjq8Nj-gOTtlyb2vaqrXBwWsogR2gO4tdVY.L9PBx1zQXGhBULqYnIi2A9NwVqvG17NUb-_UnFQYMMg&amp;dib_tag=se&amp;keywords=WS2812B&amp;qid=1775336804&amp;sr=8-6&amp;th=1" xr:uid="{1DD17181-F8AF-46BC-9A0B-8C43D078CAE1}"/>
    <hyperlink ref="H8" r:id="rId7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C5EAFA84-6616-4F92-80D1-317C9A9B16B6}"/>
    <hyperlink ref="H10" r:id="rId8" display="https://www.amazon.es/-/pt/dp/B0D315RFLB/ref=sr_1_1?crid=RHKQ71HE05D7&amp;dib=eyJ2IjoiMSJ9.e3nMVLAp3yiQAbnr8nIupEtyFtVNeVXMOIkd1FL3NfQy5Q3ZpX7oceWuOlbTc0k-z2KuCMx-uTq0wPf_kPp86r32dfFfxz2r0r1wHhDxq-YeeEe-DQtuNE6ZxaAUvZfsCVuiNf5xJbZIye9GaytSYL829bv1OGLK08DnomExAiVE2u7zpKWgUTmPT-dqzGFVPHvW21IiczNPrEs3yZGEvr6K8QP-zWWvUxtQbmcRTYXSRQogHFcoy3oVKVWMuM2aa_1O4Zeyn7TopRZOzLFxodbdW3wk9KObTam8YxZxIpE.c4r8X4SgcSb6XR4PNbhTwGZD6KJCbWvjUY2LvOwJxtA&amp;dib_tag=se&amp;keywords=AO3400A+%28MOSFET%29&amp;qid=1775337500&amp;sprefix=ao3400a+mosfet+%2Caps%2C132&amp;sr=8-1" xr:uid="{9047D8C5-5E99-4C0C-B08B-24791D1AB477}"/>
    <hyperlink ref="H11" r:id="rId9" display="https://www.amazon.es/-/pt/dp/B01F4SQ6KU/ref=sr_1_3?crid=23W7HH39ZNHYH&amp;dib=eyJ2IjoiMSJ9.pF6OQ--UNglLTbUAmLHI1ziUwvlo_WaCFYLg1Jkjbii_jIxj97TR-Vpz8ozeQVSUqTK2uCq7wwXAZwC1dB4QQOts-6khNAgr915PrVWjrYrrgZ4rnNBb0qJ2e2XjlgZmTTouc1EUmSntOj0IY6RtdjEk0U-Mnq21UhEYH6tdCDsZ5xHdY3m_gB9gGAqampojFGyNitp-YvI-C9M_ikTIiAoX2jEWwZOfpUJ4_bfQqgA4SAalRGI599EiGKBPeHLHMdrC_RIf2Q0OaVV9c11pcensKV8K4bROllA5FzlIBtE._9bCkVhvNr5-HfQ3AqsoRTE8xxW9myXgPFnI3VWo9vY&amp;dib_tag=se&amp;keywords=diodo+1n4007&amp;qid=1775337648&amp;sprefix=díodo+1n4007%2Caps%2C120&amp;sr=8-3" xr:uid="{4491640F-9692-434A-9CD9-9E02A8522248}"/>
    <hyperlink ref="H12" r:id="rId10" display="https://www.amazon.es/-/pt/dp/B07L3NRTF7/ref=sr_1_7?crid=17OZVJORC0V5&amp;dib=eyJ2IjoiMSJ9.VxuvM5hgdEa_-FNTUwIzgtrLcMoSFR8NxN39LBhXVXt0kkXHsX4YNh2XYvKb4ftUCT2RIHtwYH8TpyXOA_ZzG9OFvGeWkdccRt0rWulO6yZDC2KI5hNB3MzKeftu-_eSABxQRCkXlar48Yd5hcSQIbbT0mcuf_ek-AuWnFCUJAw1Dh7o1drRfyfcrXUfFMRVJs5C1t51L4ee8BSNS55WjC-T4rN2VMDiZfBBWJSM4ogYsgiuAOXWydBIxWK0WtF4MvMuJbJyl3-SHEdrbc_WTjxm99dN6myJ25Eke1WEHZY.H8S16J-LPMO5FYB8yvX9ypBuSJpTVzoSo6FuPogPGrc&amp;dib_tag=se&amp;keywords=Sensor+IR+%28TCRT5000%29&amp;qid=1775337720&amp;sprefix=sensor+ir+tcrt5000+%2Caps%2C129&amp;sr=8-7" xr:uid="{FF671E9B-1CC2-4C2A-86AD-447B56F50514}"/>
    <hyperlink ref="H9" r:id="rId11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D21F7FC3-1DEC-4A8D-9A2A-B24189262501}"/>
    <hyperlink ref="H13" r:id="rId12" display="https://www.amazon.es/-/pt/dp/B0839H19HY/ref=sr_1_2?crid=114W5N3ROMWBL&amp;dib=eyJ2IjoiMSJ9.kgyDWiWrR8ecwBQ7qvr8VhbXXamj_YH8cRQvIfa8kUkeOkhmuCfMxbdYgF6UpwVJXl5DmovAvAq24IvF9YZQDy3ryikCDlWIHZFK25fKG6JCltHIwzZQuz6K4-Lke3HO629eAS6x4WhLE1a5drXeUnb_rP-Fg1HwHGfrCl3KwINXMvkUD6VfcqdOuHgfVrdhlojlmBZkLw0Ydh9r6qJBdS7ft0dzb4gncsmnPeFmQjrxD9ixfLV5ApSnJM_ShAnPZ53sopLUVMRF2vqT6nllIUxxzb5pKnRQGozBe-lMCAU.sj9qJ9295GKAmcHK_iWJDiv7jLB9jGu4Jim6JqPwQwU&amp;dib_tag=se&amp;keywords=Coin+vibration+motor+3V&amp;qid=1775337990&amp;sprefix=coin+vibration+motor+3v%2Caps%2C125&amp;sr=8-2" xr:uid="{74DC0B31-ABBC-4F70-B0C8-A4781B10C02B}"/>
    <hyperlink ref="H14" r:id="rId13" display="https://pt.aliexpress.com/item/1005006320201874.html?src=google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6320201874&amp;ds_e_product_merchant_id=5295246745&amp;ds_e_product_country=PT&amp;ds_e_product_language=pt&amp;ds_e_product_channel=online&amp;ds_e_product_store_id=&amp;ds_url_v=2&amp;albcp=22568097293&amp;albag=&amp;isSmbAutoCall=false&amp;needSmbHouyi=false&amp;gad_source=1&amp;gad_campaignid=22561749573&amp;gclid=Cj0KCQjw7cLOBhDmARIsAGsuA0kun4oh-TMdB4wI6mu6cCwLk9XSpATxOg640u9t43OiDC2u0GZ1RcYaAq9cEALw_wcB" xr:uid="{5144DCA0-069A-46D0-80E0-BB67F3E08E87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Campos</dc:creator>
  <cp:keywords/>
  <dc:description/>
  <cp:lastModifiedBy>Bernardo Carvalho</cp:lastModifiedBy>
  <cp:revision/>
  <dcterms:created xsi:type="dcterms:W3CDTF">2024-03-18T14:16:46Z</dcterms:created>
  <dcterms:modified xsi:type="dcterms:W3CDTF">2026-04-04T21:41:58Z</dcterms:modified>
  <cp:category/>
  <cp:contentStatus/>
</cp:coreProperties>
</file>